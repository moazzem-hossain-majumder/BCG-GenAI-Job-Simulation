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0d1d7da27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4a143fa42d64117"/>
    <x:sheet xmlns:r="http://schemas.openxmlformats.org/officeDocument/2006/relationships" name="Extracted Data" sheetId="2" r:id="Rf8b73e8bebad435c"/>
    <x:sheet xmlns:r="http://schemas.openxmlformats.org/officeDocument/2006/relationships" name="Summary" sheetId="3" r:id="R0e48108b34f44482"/>
    <x:sheet xmlns:r="http://schemas.openxmlformats.org/officeDocument/2006/relationships" name="Sources" sheetId="4" r:id="R0b19c6076add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2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top>
        <x:color rgb="D9E2F3"/>
      </x:top>
      <x:bottom>
        <x:color rgb="A6A6A6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top>
        <x:color rgb="D9E2F3"/>
      </x:top>
      <x:bottom>
        <x:color rgb="A6A6A6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2" fontId="0" fillId="0" borderId="15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8" xfId="0" applyNumberFormat="1" applyFont="1" applyFill="1" applyBorder="1"/>
    <x:xf numFmtId="200" fontId="0" fillId="0" borderId="18" xfId="0" applyNumberFormat="1" applyFont="1" applyFill="1" applyBorder="1"/>
    <x:xf numFmtId="201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3" fillId="3" borderId="11" xfId="0" applyNumberFormat="1" applyFont="1" applyFill="1" applyBorder="1" applyAlignment="1">
      <x:alignment horizontal="center" wrapText="1"/>
    </x:xf>
    <x:xf numFmtId="0" fontId="3" fillId="3" borderId="12" xfId="0" applyNumberFormat="1" applyFont="1" applyFill="1" applyBorder="1" applyAlignment="1">
      <x:alignment horizontal="center" wrapText="1"/>
    </x:xf>
    <x:xf numFmtId="0" fontId="3" fillId="3" borderId="13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0" borderId="19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688aa7df84a80" /><Relationship Type="http://schemas.openxmlformats.org/officeDocument/2006/relationships/theme" Target="/xl/theme/theme1.xml" Id="R5a5c1f38b4074f61" /><Relationship Type="http://schemas.openxmlformats.org/officeDocument/2006/relationships/sharedStrings" Target="/xl/sharedStrings.xml" Id="R8d917d0a6c6443a7" /><Relationship Type="http://schemas.openxmlformats.org/officeDocument/2006/relationships/worksheet" Target="/xl/worksheets/sheet1.xml" Id="R34a143fa42d64117" /><Relationship Type="http://schemas.openxmlformats.org/officeDocument/2006/relationships/worksheet" Target="/xl/worksheets/sheet2.xml" Id="Rf8b73e8bebad435c" /><Relationship Type="http://schemas.openxmlformats.org/officeDocument/2006/relationships/worksheet" Target="/xl/worksheets/sheet3.xml" Id="R0e48108b34f44482" /><Relationship Type="http://schemas.openxmlformats.org/officeDocument/2006/relationships/worksheet" Target="/xl/worksheets/sheet4.xml" Id="R0b19c6076add4c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fd890bd2ec44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2025 Revenue and Net Income by Company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Ticker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2025 Revenue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2025 Net Income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'Summary'!$D$4:$D$6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fd890bd2ec44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ialDataTable" displayName="FinancialDataTable" ref="A1:O10" headerRowCount="1">
  <x:tableColumns count="15">
    <x:tableColumn id="1" name="Company Name"/>
    <x:tableColumn id="2" name="Ticker"/>
    <x:tableColumn id="3" name="Fiscal Year"/>
    <x:tableColumn id="4" name="Fiscal Year End"/>
    <x:tableColumn id="5" name="Total Revenue"/>
    <x:tableColumn id="6" name="Net Income"/>
    <x:tableColumn id="7" name="Total Assets"/>
    <x:tableColumn id="8" name="Total Liabilities"/>
    <x:tableColumn id="9" name="Cash Flow from Operating Activities"/>
    <x:tableColumn id="10" name="Revenue Growth (%)"/>
    <x:tableColumn id="11" name="Net Income Growth (%)"/>
    <x:tableColumn id="12" name="Operating Cash Flow Growth (%)"/>
    <x:tableColumn id="13" name="Profit Margin (%)"/>
    <x:tableColumn id="14" name="Liabilities / Assets (%)"/>
    <x:tableColumn id="15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9e89ff9ab549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dd485e06f9c4c6e" /></Relationships>
</file>

<file path=xl/worksheets/sheet1.xml><?xml version="1.0" encoding="utf-8"?>
<x:worksheet xmlns:x="http://schemas.openxmlformats.org/spreadsheetml/2006/main">
  <x:sheetFormatPr defaultRowHeight="15"/>
  <x:cols>
    <x:col min="1" max="1" width="177.92999267578125" hidden="0" customWidth="1"/>
    <x:col min="2" max="2" width="80" hidden="0" customWidth="1"/>
  </x:cols>
  <x:sheetData>
    <x:row r="1" ht="28" customHeight="1">
      <x:c r="A1" s="5" t="str">
        <x:v>BCG GenAI Consulting - Task 1 Example Answer Workbook</x:v>
      </x:c>
      <x:c r="B1" s="12"/>
    </x:row>
    <x:row r="3">
      <x:c r="A3" s="10" t="str">
        <x:v>Purpose</x:v>
      </x:c>
    </x:row>
    <x:row r="4">
      <x:c r="A4" s="12" t="str">
        <x:v>This workbook provides an example answer for manually extracting key financial figures from Microsoft, Tesla, and Apple 10-K filings and preparing them for Python / pandas analysis. All monetary figures are in USD millions.</x:v>
      </x:c>
    </x:row>
    <x:row r="6">
      <x:c r="A6" s="15" t="str">
        <x:v>Workbook structure</x:v>
      </x:c>
      <x:c r="B6" s="15" t="str"/>
    </x:row>
    <x:row r="7">
      <x:c r="A7" s="18" t="str">
        <x:v>Extracted Data</x:v>
      </x:c>
      <x:c r="B7" t="str">
        <x:v>Raw financial data plus formula-driven year-over-year growth, profit margin, and liabilities-to-assets ratio.</x:v>
      </x:c>
    </x:row>
    <x:row r="8">
      <x:c r="A8" s="18" t="str">
        <x:v>Summary</x:v>
      </x:c>
      <x:c r="B8" t="str">
        <x:v>Company-level 2025 snapshot, 3-year CAGR, average growth rates, and a short interpretation.</x:v>
      </x:c>
    </x:row>
    <x:row r="9">
      <x:c r="A9" s="18" t="str">
        <x:v>Sources</x:v>
      </x:c>
      <x:c r="B9" t="str">
        <x:v>Source URLs and notes for validation.</x:v>
      </x:c>
    </x:row>
    <x:row r="10">
      <x:c r="A10" s="18" t="str">
        <x:v>Suggested Python next step</x:v>
      </x:c>
      <x:c r="B10" t="str">
        <x:v>Export the Extracted Data sheet as CSV and load it with pandas using pd.read_csv().</x:v>
      </x:c>
    </x:row>
  </x:sheetData>
  <x:mergeCells>
    <x:mergeCell ref="A1:H1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5" hidden="0" customWidth="1"/>
    <x:col min="5" max="5" width="16" hidden="0" customWidth="1"/>
    <x:col min="6" max="6" width="15" hidden="0" customWidth="1"/>
    <x:col min="7" max="7" width="15" hidden="0" customWidth="1"/>
    <x:col min="8" max="8" width="17" hidden="0" customWidth="1"/>
    <x:col min="9" max="9" width="25" hidden="0" customWidth="1"/>
    <x:col min="10" max="10" width="17" hidden="0" customWidth="1"/>
    <x:col min="11" max="11" width="19" hidden="0" customWidth="1"/>
    <x:col min="12" max="12" width="25" hidden="0" customWidth="1"/>
    <x:col min="13" max="13" width="16" hidden="0" customWidth="1"/>
    <x:col min="14" max="14" width="20" hidden="0" customWidth="1"/>
    <x:col min="15" max="15" width="55" hidden="0" customWidth="1"/>
  </x:cols>
  <x:sheetData>
    <x:row r="1" ht="34" customHeight="1">
      <x:c r="A1" s="34" t="str">
        <x:v>Company Name</x:v>
      </x:c>
      <x:c r="B1" s="35" t="str">
        <x:v>Ticker</x:v>
      </x:c>
      <x:c r="C1" s="35" t="str">
        <x:v>Fiscal Year</x:v>
      </x:c>
      <x:c r="D1" s="35" t="str">
        <x:v>Fiscal Year End</x:v>
      </x:c>
      <x:c r="E1" s="35" t="str">
        <x:v>Total Revenue</x:v>
      </x:c>
      <x:c r="F1" s="35" t="str">
        <x:v>Net Income</x:v>
      </x:c>
      <x:c r="G1" s="35" t="str">
        <x:v>Total Assets</x:v>
      </x:c>
      <x:c r="H1" s="35" t="str">
        <x:v>Total Liabilities</x:v>
      </x:c>
      <x:c r="I1" s="35" t="str">
        <x:v>Cash Flow from Operating Activities</x:v>
      </x:c>
      <x:c r="J1" s="35" t="str">
        <x:v>Revenue Growth (%)</x:v>
      </x:c>
      <x:c r="K1" s="35" t="str">
        <x:v>Net Income Growth (%)</x:v>
      </x:c>
      <x:c r="L1" s="35" t="str">
        <x:v>Operating Cash Flow Growth (%)</x:v>
      </x:c>
      <x:c r="M1" s="35" t="str">
        <x:v>Profit Margin (%)</x:v>
      </x:c>
      <x:c r="N1" s="35" t="str">
        <x:v>Liabilities / Assets (%)</x:v>
      </x:c>
      <x:c r="O1" s="36" t="str">
        <x:v>Source URL</x:v>
      </x:c>
    </x:row>
    <x:row r="2">
      <x:c r="A2" s="37" t="str">
        <x:v>Microsoft</x:v>
      </x:c>
      <x:c r="B2" s="38" t="str">
        <x:v>MSFT</x:v>
      </x:c>
      <x:c r="C2" s="38" t="n">
        <x:v>2023</x:v>
      </x:c>
      <x:c r="D2" s="39" t="str">
        <x:v>2023-06-30</x:v>
      </x:c>
      <x:c r="E2" s="40" t="n">
        <x:v>211915</x:v>
      </x:c>
      <x:c r="F2" s="40" t="n">
        <x:v>72361</x:v>
      </x:c>
      <x:c r="G2" s="40" t="n">
        <x:v>411976</x:v>
      </x:c>
      <x:c r="H2" s="40" t="n">
        <x:v>205753</x:v>
      </x:c>
      <x:c r="I2" s="40" t="n">
        <x:v>87582</x:v>
      </x:c>
      <x:c r="J2" s="41" t="str">
        <x:f>IF($A2=$A1,($E2/$E1)-1,"")</x:f>
      </x:c>
      <x:c r="K2" s="41" t="str">
        <x:f>IF($A2=$A1,($F2/$F1)-1,"")</x:f>
      </x:c>
      <x:c r="L2" s="41" t="str">
        <x:f>IF($A2=$A1,($I2/$I1)-1,"")</x:f>
      </x:c>
      <x:c r="M2" s="41" t="n">
        <x:f>IFERROR($F2/$E2,"")</x:f>
        <x:v>0.3414623787839464</x:v>
      </x:c>
      <x:c r="N2" s="41" t="n">
        <x:f>IFERROR($H2/$G2,"")</x:f>
        <x:v>0.499429578422044</x:v>
      </x:c>
      <x:c r="O2" s="42" t="str">
        <x:v>https://www.microsoft.com/investor/reports/ar25/index.html</x:v>
      </x:c>
    </x:row>
    <x:row r="3">
      <x:c r="A3" s="37" t="str">
        <x:v>Microsoft</x:v>
      </x:c>
      <x:c r="B3" s="38" t="str">
        <x:v>MSFT</x:v>
      </x:c>
      <x:c r="C3" s="38" t="n">
        <x:v>2024</x:v>
      </x:c>
      <x:c r="D3" s="39" t="str">
        <x:v>2024-06-30</x:v>
      </x:c>
      <x:c r="E3" s="40" t="n">
        <x:v>245122</x:v>
      </x:c>
      <x:c r="F3" s="40" t="n">
        <x:v>88136</x:v>
      </x:c>
      <x:c r="G3" s="40" t="n">
        <x:v>512163</x:v>
      </x:c>
      <x:c r="H3" s="40" t="n">
        <x:v>243686</x:v>
      </x:c>
      <x:c r="I3" s="40" t="n">
        <x:v>118548</x:v>
      </x:c>
      <x:c r="J3" s="41" t="n">
        <x:f>IF($A3=$A2,($E3/$E2)-1,"")</x:f>
        <x:v>0.1566996201307127</x:v>
      </x:c>
      <x:c r="K3" s="41" t="n">
        <x:f>IF($A3=$A2,($F3/$F2)-1,"")</x:f>
        <x:v>0.21800417351888446</x:v>
      </x:c>
      <x:c r="L3" s="41" t="n">
        <x:f>IF($A3=$A2,($I3/$I2)-1,"")</x:f>
        <x:v>0.35356580119202574</x:v>
      </x:c>
      <x:c r="M3" s="41" t="n">
        <x:f>IFERROR($F3/$E3,"")</x:f>
        <x:v>0.35955972944084985</x:v>
      </x:c>
      <x:c r="N3" s="41" t="n">
        <x:f>IFERROR($H3/$G3,"")</x:f>
        <x:v>0.47579774407756903</x:v>
      </x:c>
      <x:c r="O3" s="42" t="str">
        <x:v>https://www.microsoft.com/investor/reports/ar25/index.html</x:v>
      </x:c>
    </x:row>
    <x:row r="4">
      <x:c r="A4" s="37" t="str">
        <x:v>Microsoft</x:v>
      </x:c>
      <x:c r="B4" s="38" t="str">
        <x:v>MSFT</x:v>
      </x:c>
      <x:c r="C4" s="38" t="n">
        <x:v>2025</x:v>
      </x:c>
      <x:c r="D4" s="39" t="str">
        <x:v>2025-06-30</x:v>
      </x:c>
      <x:c r="E4" s="40" t="n">
        <x:v>281724</x:v>
      </x:c>
      <x:c r="F4" s="40" t="n">
        <x:v>101832</x:v>
      </x:c>
      <x:c r="G4" s="40" t="n">
        <x:v>619003</x:v>
      </x:c>
      <x:c r="H4" s="40" t="n">
        <x:v>275524</x:v>
      </x:c>
      <x:c r="I4" s="40" t="n">
        <x:v>136162</x:v>
      </x:c>
      <x:c r="J4" s="41" t="n">
        <x:f>IF($A4=$A3,($E4/$E3)-1,"")</x:f>
        <x:v>0.14932156232406713</x:v>
      </x:c>
      <x:c r="K4" s="41" t="n">
        <x:f>IF($A4=$A3,($F4/$F3)-1,"")</x:f>
        <x:v>0.15539620586366532</x:v>
      </x:c>
      <x:c r="L4" s="41" t="n">
        <x:f>IF($A4=$A3,($I4/$I3)-1,"")</x:f>
        <x:v>0.14858116543509792</x:v>
      </x:c>
      <x:c r="M4" s="41" t="n">
        <x:f>IFERROR($F4/$E4,"")</x:f>
        <x:v>0.3614601524896707</x:v>
      </x:c>
      <x:c r="N4" s="41" t="n">
        <x:f>IFERROR($H4/$G4,"")</x:f>
        <x:v>0.44510931287893596</x:v>
      </x:c>
      <x:c r="O4" s="42" t="str">
        <x:v>https://www.microsoft.com/investor/reports/ar25/index.html</x:v>
      </x:c>
    </x:row>
    <x:row r="5">
      <x:c r="A5" s="37" t="str">
        <x:v>Tesla</x:v>
      </x:c>
      <x:c r="B5" s="38" t="str">
        <x:v>TSLA</x:v>
      </x:c>
      <x:c r="C5" s="38" t="n">
        <x:v>2023</x:v>
      </x:c>
      <x:c r="D5" s="39" t="str">
        <x:v>2023-12-31</x:v>
      </x:c>
      <x:c r="E5" s="40" t="n">
        <x:v>96773</x:v>
      </x:c>
      <x:c r="F5" s="40" t="n">
        <x:v>14974</x:v>
      </x:c>
      <x:c r="G5" s="40" t="n">
        <x:v>106618</x:v>
      </x:c>
      <x:c r="H5" s="40" t="n">
        <x:v>43009</x:v>
      </x:c>
      <x:c r="I5" s="40" t="n">
        <x:v>13256</x:v>
      </x:c>
      <x:c r="J5" s="41" t="str">
        <x:f>IF($A5=$A4,($E5/$E4)-1,"")</x:f>
      </x:c>
      <x:c r="K5" s="41" t="str">
        <x:f>IF($A5=$A4,($F5/$F4)-1,"")</x:f>
      </x:c>
      <x:c r="L5" s="41" t="str">
        <x:f>IF($A5=$A4,($I5/$I4)-1,"")</x:f>
      </x:c>
      <x:c r="M5" s="41" t="n">
        <x:f>IFERROR($F5/$E5,"")</x:f>
        <x:v>0.1547332417099811</x:v>
      </x:c>
      <x:c r="N5" s="41" t="n">
        <x:f>IFERROR($H5/$G5,"")</x:f>
        <x:v>0.4033934232493575</x:v>
      </x:c>
      <x:c r="O5" s="42" t="str">
        <x:v>https://stocklight.com/stocks/us/nasdaq-tsla/tesla/annual-reports/nasdaq-tsla-2026-10K-26574326.pdf</x:v>
      </x:c>
    </x:row>
    <x:row r="6">
      <x:c r="A6" s="37" t="str">
        <x:v>Tesla</x:v>
      </x:c>
      <x:c r="B6" s="38" t="str">
        <x:v>TSLA</x:v>
      </x:c>
      <x:c r="C6" s="38" t="n">
        <x:v>2024</x:v>
      </x:c>
      <x:c r="D6" s="39" t="str">
        <x:v>2024-12-31</x:v>
      </x:c>
      <x:c r="E6" s="40" t="n">
        <x:v>97690</x:v>
      </x:c>
      <x:c r="F6" s="40" t="n">
        <x:v>7153</x:v>
      </x:c>
      <x:c r="G6" s="40" t="n">
        <x:v>122070</x:v>
      </x:c>
      <x:c r="H6" s="40" t="n">
        <x:v>48390</x:v>
      </x:c>
      <x:c r="I6" s="40" t="n">
        <x:v>14923</x:v>
      </x:c>
      <x:c r="J6" s="41" t="n">
        <x:f>IF($A6=$A5,($E6/$E5)-1,"")</x:f>
        <x:v>0.009475783534663496</x:v>
      </x:c>
      <x:c r="K6" s="41" t="n">
        <x:f>IF($A6=$A5,($F6/$F5)-1,"")</x:f>
        <x:v>-0.5223053292373447</x:v>
      </x:c>
      <x:c r="L6" s="41" t="n">
        <x:f>IF($A6=$A5,($I6/$I5)-1,"")</x:f>
        <x:v>0.1257543753771877</x:v>
      </x:c>
      <x:c r="M6" s="41" t="n">
        <x:f>IFERROR($F6/$E6,"")</x:f>
        <x:v>0.07322141467908691</x:v>
      </x:c>
      <x:c r="N6" s="41" t="n">
        <x:f>IFERROR($H6/$G6,"")</x:f>
        <x:v>0.3964118948144507</x:v>
      </x:c>
      <x:c r="O6" s="42" t="str">
        <x:v>https://stocklight.com/stocks/us/nasdaq-tsla/tesla/annual-reports/nasdaq-tsla-2026-10K-26574326.pdf</x:v>
      </x:c>
    </x:row>
    <x:row r="7">
      <x:c r="A7" s="37" t="str">
        <x:v>Tesla</x:v>
      </x:c>
      <x:c r="B7" s="38" t="str">
        <x:v>TSLA</x:v>
      </x:c>
      <x:c r="C7" s="38" t="n">
        <x:v>2025</x:v>
      </x:c>
      <x:c r="D7" s="39" t="str">
        <x:v>2025-12-31</x:v>
      </x:c>
      <x:c r="E7" s="40" t="n">
        <x:v>94827</x:v>
      </x:c>
      <x:c r="F7" s="40" t="n">
        <x:v>3855</x:v>
      </x:c>
      <x:c r="G7" s="40" t="n">
        <x:v>137806</x:v>
      </x:c>
      <x:c r="H7" s="40" t="n">
        <x:v>54941</x:v>
      </x:c>
      <x:c r="I7" s="40" t="n">
        <x:v>14747</x:v>
      </x:c>
      <x:c r="J7" s="41" t="n">
        <x:f>IF($A7=$A6,($E7/$E6)-1,"")</x:f>
        <x:v>-0.02930699150373628</x:v>
      </x:c>
      <x:c r="K7" s="41" t="n">
        <x:f>IF($A7=$A6,($F7/$F6)-1,"")</x:f>
        <x:v>-0.4610652872920453</x:v>
      </x:c>
      <x:c r="L7" s="41" t="n">
        <x:f>IF($A7=$A6,($I7/$I6)-1,"")</x:f>
        <x:v>-0.011793875226160933</x:v>
      </x:c>
      <x:c r="M7" s="41" t="n">
        <x:f>IFERROR($F7/$E7,"")</x:f>
        <x:v>0.040652978582049415</x:v>
      </x:c>
      <x:c r="N7" s="41" t="n">
        <x:f>IFERROR($H7/$G7,"")</x:f>
        <x:v>0.39868365673483014</x:v>
      </x:c>
      <x:c r="O7" s="42" t="str">
        <x:v>https://stocklight.com/stocks/us/nasdaq-tsla/tesla/annual-reports/nasdaq-tsla-2026-10K-26574326.pdf</x:v>
      </x:c>
    </x:row>
    <x:row r="8">
      <x:c r="A8" s="37" t="str">
        <x:v>Apple</x:v>
      </x:c>
      <x:c r="B8" s="38" t="str">
        <x:v>AAPL</x:v>
      </x:c>
      <x:c r="C8" s="38" t="n">
        <x:v>2023</x:v>
      </x:c>
      <x:c r="D8" s="39" t="str">
        <x:v>2023-09-30</x:v>
      </x:c>
      <x:c r="E8" s="40" t="n">
        <x:v>383285</x:v>
      </x:c>
      <x:c r="F8" s="40" t="n">
        <x:v>96995</x:v>
      </x:c>
      <x:c r="G8" s="40" t="n">
        <x:v>352583</x:v>
      </x:c>
      <x:c r="H8" s="40" t="n">
        <x:v>290437</x:v>
      </x:c>
      <x:c r="I8" s="40" t="n">
        <x:v>110543</x:v>
      </x:c>
      <x:c r="J8" s="41" t="str">
        <x:f>IF($A8=$A7,($E8/$E7)-1,"")</x:f>
      </x:c>
      <x:c r="K8" s="41" t="str">
        <x:f>IF($A8=$A7,($F8/$F7)-1,"")</x:f>
      </x:c>
      <x:c r="L8" s="41" t="str">
        <x:f>IF($A8=$A7,($I8/$I7)-1,"")</x:f>
      </x:c>
      <x:c r="M8" s="41" t="n">
        <x:f>IFERROR($F8/$E8,"")</x:f>
        <x:v>0.2530623426432028</x:v>
      </x:c>
      <x:c r="N8" s="41" t="n">
        <x:f>IFERROR($H8/$G8,"")</x:f>
        <x:v>0.8237407929480435</x:v>
      </x:c>
      <x:c r="O8" s="42" t="str">
        <x:v>https://www.sec.gov/Archives/edgar/data/320193/000032019325000079/aapl-20250927.htm</x:v>
      </x:c>
    </x:row>
    <x:row r="9">
      <x:c r="A9" s="37" t="str">
        <x:v>Apple</x:v>
      </x:c>
      <x:c r="B9" s="38" t="str">
        <x:v>AAPL</x:v>
      </x:c>
      <x:c r="C9" s="38" t="n">
        <x:v>2024</x:v>
      </x:c>
      <x:c r="D9" s="39" t="str">
        <x:v>2024-09-28</x:v>
      </x:c>
      <x:c r="E9" s="40" t="n">
        <x:v>391035</x:v>
      </x:c>
      <x:c r="F9" s="40" t="n">
        <x:v>93736</x:v>
      </x:c>
      <x:c r="G9" s="40" t="n">
        <x:v>364980</x:v>
      </x:c>
      <x:c r="H9" s="40" t="n">
        <x:v>308030</x:v>
      </x:c>
      <x:c r="I9" s="40" t="n">
        <x:v>118254</x:v>
      </x:c>
      <x:c r="J9" s="41" t="n">
        <x:f>IF($A9=$A8,($E9/$E8)-1,"")</x:f>
        <x:v>0.02021994077514111</x:v>
      </x:c>
      <x:c r="K9" s="41" t="n">
        <x:f>IF($A9=$A8,($F9/$F8)-1,"")</x:f>
        <x:v>-0.033599670086086886</x:v>
      </x:c>
      <x:c r="L9" s="41" t="n">
        <x:f>IF($A9=$A8,($I9/$I8)-1,"")</x:f>
        <x:v>0.069755660693124</x:v>
      </x:c>
      <x:c r="M9" s="41" t="n">
        <x:f>IFERROR($F9/$E9,"")</x:f>
        <x:v>0.23971255769943867</x:v>
      </x:c>
      <x:c r="N9" s="41" t="n">
        <x:f>IFERROR($H9/$G9,"")</x:f>
        <x:v>0.8439640528248123</x:v>
      </x:c>
      <x:c r="O9" s="42" t="str">
        <x:v>https://www.sec.gov/Archives/edgar/data/320193/000032019325000079/aapl-20250927.htm</x:v>
      </x:c>
    </x:row>
    <x:row r="10">
      <x:c r="A10" s="43" t="str">
        <x:v>Apple</x:v>
      </x:c>
      <x:c r="B10" s="44" t="str">
        <x:v>AAPL</x:v>
      </x:c>
      <x:c r="C10" s="44" t="n">
        <x:v>2025</x:v>
      </x:c>
      <x:c r="D10" s="45" t="str">
        <x:v>2025-09-27</x:v>
      </x:c>
      <x:c r="E10" s="46" t="n">
        <x:v>416161</x:v>
      </x:c>
      <x:c r="F10" s="46" t="n">
        <x:v>112010</x:v>
      </x:c>
      <x:c r="G10" s="46" t="n">
        <x:v>359241</x:v>
      </x:c>
      <x:c r="H10" s="46" t="n">
        <x:v>285508</x:v>
      </x:c>
      <x:c r="I10" s="46" t="n">
        <x:v>111482</x:v>
      </x:c>
      <x:c r="J10" s="47" t="n">
        <x:f>IF($A10=$A9,($E10/$E9)-1,"")</x:f>
        <x:v>0.06425511782832749</x:v>
      </x:c>
      <x:c r="K10" s="47" t="n">
        <x:f>IF($A10=$A9,($F10/$F9)-1,"")</x:f>
        <x:v>0.1949517794657336</x:v>
      </x:c>
      <x:c r="L10" s="47" t="n">
        <x:f>IF($A10=$A9,($I10/$I9)-1,"")</x:f>
        <x:v>-0.05726656180763445</x:v>
      </x:c>
      <x:c r="M10" s="47" t="n">
        <x:f>IFERROR($F10/$E10,"")</x:f>
        <x:v>0.2691506412181824</x:v>
      </x:c>
      <x:c r="N10" s="47" t="n">
        <x:f>IFERROR($H10/$G10,"")</x:f>
        <x:v>0.7947533828265705</x:v>
      </x:c>
      <x:c r="O10" s="48" t="str">
        <x:v>https://www.sec.gov/Archives/edgar/data/320193/000032019325000079/aapl-20250927.htm</x:v>
      </x:c>
    </x:row>
  </x:sheetData>
  <x:pageMargins left="0.7" right="0.7" top="0.75" bottom="0.75" header="0.3" footer="0.3"/>
  <x:tableParts count="1">
    <x:tablePart xmlns:r="http://schemas.openxmlformats.org/officeDocument/2006/relationships" r:id="R599e89ff9ab549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16" hidden="0" customWidth="1"/>
    <x:col min="5" max="5" width="20" hidden="0" customWidth="1"/>
    <x:col min="6" max="6" width="22" hidden="0" customWidth="1"/>
    <x:col min="7" max="7" width="18" hidden="0" customWidth="1"/>
    <x:col min="8" max="8" width="20" hidden="0" customWidth="1"/>
    <x:col min="9" max="9" width="18" hidden="0" customWidth="1"/>
    <x:col min="10" max="10" width="65" hidden="0" customWidth="1"/>
  </x:cols>
  <x:sheetData>
    <x:row r="1" ht="28" customHeight="1">
      <x:c r="A1" s="5" t="str">
        <x:v>Financial Data Analysis Summary</x:v>
      </x:c>
    </x:row>
    <x:row r="3">
      <x:c r="A3" s="68" t="str">
        <x:v>Company</x:v>
      </x:c>
      <x:c r="B3" s="69" t="str">
        <x:v>Ticker</x:v>
      </x:c>
      <x:c r="C3" s="69" t="str">
        <x:v>2025 Revenue</x:v>
      </x:c>
      <x:c r="D3" s="69" t="str">
        <x:v>2025 Net Income</x:v>
      </x:c>
      <x:c r="E3" s="69" t="str">
        <x:v>Revenue CAGR 2023-2025</x:v>
      </x:c>
      <x:c r="F3" s="69" t="str">
        <x:v>Net Income CAGR 2023-2025</x:v>
      </x:c>
      <x:c r="G3" s="69" t="str">
        <x:v>Avg Revenue Growth</x:v>
      </x:c>
      <x:c r="H3" s="69" t="str">
        <x:v>Avg Net Income Growth</x:v>
      </x:c>
      <x:c r="I3" s="69" t="str">
        <x:v>2025 Profit Margin</x:v>
      </x:c>
      <x:c r="J3" s="70" t="str">
        <x:v>Interpretation</x:v>
      </x:c>
    </x:row>
    <x:row r="4">
      <x:c r="A4" s="37" t="str">
        <x:v>Microsoft</x:v>
      </x:c>
      <x:c r="B4" s="38" t="str">
        <x:v>MSFT</x:v>
      </x:c>
      <x:c r="C4" s="40" t="n">
        <x:f>'Extracted Data'!E4</x:f>
        <x:v>281724</x:v>
      </x:c>
      <x:c r="D4" s="40" t="n">
        <x:f>'Extracted Data'!F4</x:f>
        <x:v>101832</x:v>
      </x:c>
      <x:c r="E4" s="41" t="n">
        <x:f>(('Extracted Data'!E4/'Extracted Data'!E2)^(1/2))-1</x:f>
        <x:v>0.15300468973386483</x:v>
      </x:c>
      <x:c r="F4" s="41" t="n">
        <x:f>(('Extracted Data'!F4/'Extracted Data'!F2)^(1/2))-1</x:f>
        <x:v>0.1862872336874526</x:v>
      </x:c>
      <x:c r="G4" s="41" t="n">
        <x:f>AVERAGE('Extracted Data'!J3:J4)</x:f>
        <x:v>0.1530105912273899</x:v>
      </x:c>
      <x:c r="H4" s="41" t="n">
        <x:f>AVERAGE('Extracted Data'!K3:K4)</x:f>
        <x:v>0.1867001896912749</x:v>
      </x:c>
      <x:c r="I4" s="41" t="n">
        <x:f>'Extracted Data'!M4</x:f>
        <x:v>0.3614601524896707</x:v>
      </x:c>
      <x:c r="J4" s="42" t="str">
        <x:v>Strong growth across revenue, net income, and operating cash flow; profitability remained high.</x:v>
      </x:c>
    </x:row>
    <x:row r="5">
      <x:c r="A5" s="37" t="str">
        <x:v>Tesla</x:v>
      </x:c>
      <x:c r="B5" s="38" t="str">
        <x:v>TSLA</x:v>
      </x:c>
      <x:c r="C5" s="40" t="n">
        <x:f>'Extracted Data'!E7</x:f>
        <x:v>94827</x:v>
      </x:c>
      <x:c r="D5" s="40" t="n">
        <x:f>'Extracted Data'!F7</x:f>
        <x:v>3855</x:v>
      </x:c>
      <x:c r="E5" s="41" t="n">
        <x:f>(('Extracted Data'!E7/'Extracted Data'!E5)^(1/2))-1</x:f>
        <x:v>-0.010105518086202414</x:v>
      </x:c>
      <x:c r="F5" s="41" t="n">
        <x:f>(('Extracted Data'!F7/'Extracted Data'!F5)^(1/2))-1</x:f>
        <x:v>-0.49260839566505177</x:v>
      </x:c>
      <x:c r="G5" s="41" t="n">
        <x:f>AVERAGE('Extracted Data'!J6:J7)</x:f>
        <x:v>-0.009915603984536392</x:v>
      </x:c>
      <x:c r="H5" s="41" t="n">
        <x:f>AVERAGE('Extracted Data'!K6:K7)</x:f>
        <x:v>-0.49168530826469503</x:v>
      </x:c>
      <x:c r="I5" s="41" t="n">
        <x:f>'Extracted Data'!M7</x:f>
        <x:v>0.040652978582049415</x:v>
      </x:c>
      <x:c r="J5" s="42" t="str">
        <x:v>Revenue was relatively flat to down, while net income declined sharply; operating cash flow stayed positive.</x:v>
      </x:c>
    </x:row>
    <x:row r="6">
      <x:c r="A6" s="43" t="str">
        <x:v>Apple</x:v>
      </x:c>
      <x:c r="B6" s="44" t="str">
        <x:v>AAPL</x:v>
      </x:c>
      <x:c r="C6" s="46" t="n">
        <x:f>'Extracted Data'!E10</x:f>
        <x:v>416161</x:v>
      </x:c>
      <x:c r="D6" s="46" t="n">
        <x:f>'Extracted Data'!F10</x:f>
        <x:v>112010</x:v>
      </x:c>
      <x:c r="E6" s="47" t="n">
        <x:f>(('Extracted Data'!E10/'Extracted Data'!E8)^(1/2))-1</x:f>
        <x:v>0.04200493918237114</x:v>
      </x:c>
      <x:c r="F6" s="47" t="n">
        <x:f>(('Extracted Data'!F10/'Extracted Data'!F8)^(1/2))-1</x:f>
        <x:v>0.07461704523374402</x:v>
      </x:c>
      <x:c r="G6" s="47" t="n">
        <x:f>AVERAGE('Extracted Data'!J9:J10)</x:f>
        <x:v>0.0422375293017343</x:v>
      </x:c>
      <x:c r="H6" s="47" t="n">
        <x:f>AVERAGE('Extracted Data'!K9:K10)</x:f>
        <x:v>0.08067605468982336</x:v>
      </x:c>
      <x:c r="I6" s="47" t="n">
        <x:f>'Extracted Data'!M10</x:f>
        <x:v>0.2691506412181824</x:v>
      </x:c>
      <x:c r="J6" s="48" t="str">
        <x:v>Revenue and net income improved in 2025, but operating cash flow dipped from 2024 while remaining very strong.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3dd485e06f9c4c6e"/>
</x:worksheet>
</file>

<file path=xl/worksheets/sheet4.xml><?xml version="1.0" encoding="utf-8"?>
<x:worksheet xmlns:x="http://schemas.openxmlformats.org/spreadsheetml/2006/main">
  <x:sheetFormatPr defaultRowHeight="15"/>
  <x:cols>
    <x:col min="1" max="1" width="18.979999542236328" hidden="0" customWidth="1"/>
    <x:col min="2" max="2" width="17.360000610351562" hidden="0" customWidth="1"/>
    <x:col min="3" max="3" width="75" hidden="0" customWidth="1"/>
    <x:col min="4" max="4" width="85" hidden="0" customWidth="1"/>
  </x:cols>
  <x:sheetData>
    <x:row r="1">
      <x:c r="A1" s="78" t="str">
        <x:v>Company</x:v>
      </x:c>
      <x:c r="B1" s="79" t="str">
        <x:v>Fiscal Years Used</x:v>
      </x:c>
      <x:c r="C1" s="84" t="str">
        <x:v>Primary Source URL</x:v>
      </x:c>
      <x:c r="D1" s="85" t="str">
        <x:v>Notes</x:v>
      </x:c>
    </x:row>
    <x:row r="2">
      <x:c r="A2" s="37" t="str">
        <x:v>Microsoft</x:v>
      </x:c>
      <x:c r="B2" s="38" t="str">
        <x:v>FY2023-FY2025</x:v>
      </x:c>
      <x:c r="C2" s="38" t="str">
        <x:v>https://www.microsoft.com/investor/reports/ar25/index.html</x:v>
      </x:c>
      <x:c r="D2" s="71" t="str">
        <x:v>2025 annual report gives income statement and cash flow for FY2023-FY2025; balance sheet gives FY2024-FY2025. FY2023 balance sheet values taken from Microsoft FY2024 balance sheet page.</x:v>
      </x:c>
    </x:row>
    <x:row r="3">
      <x:c r="A3" s="37" t="str">
        <x:v>Microsoft supplemental</x:v>
      </x:c>
      <x:c r="B3" s="38" t="str">
        <x:v>FY2023 balance sheet</x:v>
      </x:c>
      <x:c r="C3" s="38" t="str">
        <x:v>https://www.microsoft.com/en-us/Investor/earnings/FY-2024-Q4/balance-sheets</x:v>
      </x:c>
      <x:c r="D3" s="71" t="str">
        <x:v>Used for 2023 total assets and liabilities because the FY2025 annual report balance sheet presents 2024 and 2025 only.</x:v>
      </x:c>
    </x:row>
    <x:row r="4">
      <x:c r="A4" s="37" t="str">
        <x:v>Tesla</x:v>
      </x:c>
      <x:c r="B4" s="38" t="str">
        <x:v>FY2023-FY2025</x:v>
      </x:c>
      <x:c r="C4" s="38" t="str">
        <x:v>https://stocklight.com/stocks/us/nasdaq-tsla/tesla/annual-reports/nasdaq-tsla-2026-10K-26574326.pdf</x:v>
      </x:c>
      <x:c r="D4" s="71" t="str">
        <x:v>2025 10-K shows revenue, net income, and operating cash flow for FY2023-FY2025; balance sheet gives FY2024-FY2025. FY2023 balance sheet value corroborated from 2024 10-K.</x:v>
      </x:c>
    </x:row>
    <x:row r="5">
      <x:c r="A5" s="37" t="str">
        <x:v>Tesla supplemental</x:v>
      </x:c>
      <x:c r="B5" s="38" t="str">
        <x:v>FY2023 balance sheet</x:v>
      </x:c>
      <x:c r="C5" s="38" t="str">
        <x:v>https://stocklight.com/stocks/us/nasdaq-tsla/tesla/annual-reports/nasdaq-tsla-2025-10K-25570807.pdf</x:v>
      </x:c>
      <x:c r="D5" s="71" t="str">
        <x:v>Used for 2023 total assets and liabilities because the FY2025 balance sheet presents 2024 and 2025 only.</x:v>
      </x:c>
    </x:row>
    <x:row r="6">
      <x:c r="A6" s="37" t="str">
        <x:v>Apple</x:v>
      </x:c>
      <x:c r="B6" s="38" t="str">
        <x:v>FY2023-FY2025</x:v>
      </x:c>
      <x:c r="C6" s="38" t="str">
        <x:v>https://www.sec.gov/Archives/edgar/data/320193/000032019325000079/aapl-20250927.htm</x:v>
      </x:c>
      <x:c r="D6" s="71" t="str">
        <x:v>2025 10-K shows statements of operations and cash flows for FY2023-FY2025; balance sheet gives FY2024-FY2025. FY2023 balance sheet value corroborated from 2024 10-K.</x:v>
      </x:c>
    </x:row>
    <x:row r="7">
      <x:c r="A7" s="43" t="str">
        <x:v>Apple supplemental</x:v>
      </x:c>
      <x:c r="B7" s="44" t="str">
        <x:v>FY2023 balance sheet</x:v>
      </x:c>
      <x:c r="C7" s="44" t="str">
        <x:v>https://www.sec.gov/Archives/edgar/data/320193/000032019324000123/aapl-20240928.htm</x:v>
      </x:c>
      <x:c r="D7" s="72" t="str">
        <x:v>Used for 2023 total assets and liabilities because the FY2025 balance sheet presents 2024 and 2025 only.</x:v>
      </x:c>
    </x:row>
  </x:sheetData>
  <x:pageMargins left="0.7" right="0.7" top="0.75" bottom="0.75" header="0.3" footer="0.3"/>
</x:worksheet>
</file>